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<sst xmlns="http://schemas.openxmlformats.org/spreadsheetml/2006/main" count="94" uniqueCount="76">
  <si>
    <t>Story</t>
  </si>
  <si>
    <t>First name</t>
  </si>
  <si>
    <t>Phone number</t>
  </si>
  <si>
    <t>Email</t>
  </si>
  <si>
    <t>Do you consent to receive contest results and Round 2 access links via WhatsApp?</t>
  </si>
  <si>
    <t>I agree to the contest rules and consent to sharing my contact information with Studio Jadu and OTTplay.</t>
  </si>
  <si>
    <t>Last name</t>
  </si>
  <si>
    <t>Submitted At</t>
  </si>
  <si>
    <t>Token</t>
  </si>
  <si>
    <t>Reason</t>
  </si>
  <si>
    <t>id</t>
  </si>
  <si>
    <t>Title</t>
  </si>
  <si>
    <t>AI generated</t>
  </si>
  <si>
    <t>In a mythic world disguised as ordinary, humanity unknowingly lives inside Rakshna’s empire — kingdoms layered in armies, temples, trade, politics, and shadow guilds. Temples channel false faith, assassins silence dissent, and intelligence networks feed secrets back to Rakshna, keeping people docile. The gods rebirth Shiva as Aren, stripped of memory, so he can live as human and judge whether existence deserves renewal or destruction. His friends, gods reborn without memories, wield cursed paradox powers, forming a gang of suffering. Aren alone is “zero,” unable to take powers — his void becomes strength. Genre: dark mythic fantasy anime.</t>
  </si>
  <si>
    <t>Pavankumar</t>
  </si>
  <si>
    <t>+917036978600</t>
  </si>
  <si>
    <t>pavankb3516@gmail.com</t>
  </si>
  <si>
    <t>Yes</t>
  </si>
  <si>
    <t>Bandarupalli</t>
  </si>
  <si>
    <t>rww5co378vs8rww5co56x7y6alaaclb0</t>
  </si>
  <si>
    <t>AI_generated</t>
  </si>
  <si>
    <t>Genre: Sci-fi, Love
Story is set in 2026 where Hero is working in a low paying job and is worried about his past love story and constantly being inferior about himself on the other end Heroine is working in a big MNC and being happy in her life but there is something missing and lost her dad due to her own mistake. On a random day for each of them they travel back to 2019 where they were in 1st year of engineering college and both of them were the lovers in college and to break this time machine chain one of them have to be successful in doing their purpose how would they do it forms the main story</t>
  </si>
  <si>
    <t>Shashivardhan</t>
  </si>
  <si>
    <t>+919618213205</t>
  </si>
  <si>
    <t>shashivardhan1104@gmail.com</t>
  </si>
  <si>
    <t>Reddy</t>
  </si>
  <si>
    <t>gft77g6j13j74jbvygft77fwc0og3nwo</t>
  </si>
  <si>
    <t>Ek chhote se gaon mein ek budhiya rehti thi, jo roz Bhagwan Krishna ke liye ek mitti ka deepak jalati thi. Wo andhi thi, lekin uska vishwas atoot tha. Ek din gaon ke pandit ne pucha, "Mai, tumne toh kabhi Bhagwan ko dekha hi nahi, phir ye deepak kiske liye?"
​Budhiya muskura kar boli, "Beta, main unhe nahi dekh sakti toh kya hua, mera Kanha toh mujhe dekh sakta hai na!"
​Uski nishchhal bhakti dekhkar swayam Prabhu ek balak ke roop mein aaye aur uski lathi pakad kar use rasta dikhane lage.
​Seekh: Bhagwan aankhon se nahi, bhakt ke nishchhal prem aur 'bhav' se milte hain.</t>
  </si>
  <si>
    <t>Ajay</t>
  </si>
  <si>
    <t>+919721521368</t>
  </si>
  <si>
    <t>ajay.kushwaha91@gmail.com</t>
  </si>
  <si>
    <t>No</t>
  </si>
  <si>
    <t xml:space="preserve">Kushwaha </t>
  </si>
  <si>
    <t>mmk5qhr3kw22wq7gwvmmk5qhe274o0bo</t>
  </si>
  <si>
    <t>Hindi</t>
  </si>
  <si>
    <t>The Clockmaker’s Debt
​Elias didn’t repair watches; he negotiated with them. In his cluttered shop, a thousand golden heartbeats pulsed against the walls.
​A young woman entered, clutching a shattered heirloom. "Can you fix it?" she whispered. "It stopped when he died."
​Elias opened the casing. The gears weren’t broken; they were holding their breath. He placed a steady finger on the balance wheel, offering a fragment of his own afternoon. Time surged. The watch ticked—once, twice—and the shop blurred.
​When the woman looked up, Elias was grayer, his skin more like parchment, but the watch hummed with life.</t>
  </si>
  <si>
    <t>Lithesh</t>
  </si>
  <si>
    <t>+918610074474</t>
  </si>
  <si>
    <t>shylendran88@gmail.com</t>
  </si>
  <si>
    <t>R</t>
  </si>
  <si>
    <t>h4aqia6lb88x4tg9jjh4aqia6l6a4xje</t>
  </si>
  <si>
    <t>Title and AI</t>
  </si>
  <si>
    <t>The old lighthouse keeper, Elias, polished the brass lamp for the final time.</t>
  </si>
  <si>
    <t>SWAYAM</t>
  </si>
  <si>
    <t>+917862072028</t>
  </si>
  <si>
    <t>cswayam32@gmail.com</t>
  </si>
  <si>
    <t>CHUNARA</t>
  </si>
  <si>
    <t>2hxa6zaxhxlm1zlal9j5l2hxaew6fqwc</t>
  </si>
  <si>
    <t>One sentence</t>
  </si>
  <si>
    <t>Chotu, who lost his mother when he was only 1, grows up dreaming about cycling in the sky along the stars searching for his mother. He grows up to be an astronaut and finds a new star in the universe and naming it after his mother. So now the world knows his mother and his inspiration.</t>
  </si>
  <si>
    <t>Prashant</t>
  </si>
  <si>
    <t>+918800748083</t>
  </si>
  <si>
    <t>chauhan101087@gmail.com</t>
  </si>
  <si>
    <t>Chauhan</t>
  </si>
  <si>
    <t>8y79qn8pw2dd526jb3l8y79qljsm9ord</t>
  </si>
  <si>
    <t>PERMISSION_🗝️
Love arrives in fragments. He thinks, or she thinks; the thought splits. Rooms tilt. Voices speak without mouths. Desire feels like a rule he forgot agreeing to. She stands not touching, controlling the air. He wants closeness, fears absorption. Breath shortens. Time stutters. Memory repeats sentences with meanings. He is disciplined, broken, brilliant, unfinished. Silence grows loud. Trust feels like exposure. Control feels like safety; safety tastes like death. Someone watches from inside his head, correcting emotions, revising reactions. He smiles. Love scratches walls, asking to be felt without permission. A door exists. He cannot tell which side he inhabits.</t>
  </si>
  <si>
    <t xml:space="preserve">Rajdeep </t>
  </si>
  <si>
    <t>+919051759382</t>
  </si>
  <si>
    <t>chowdhuryrajdeep935@gmail.com</t>
  </si>
  <si>
    <t xml:space="preserve">Chowdhury </t>
  </si>
  <si>
    <t>hmdqrllh25z18ndhmdqrlniqf0yj7owp</t>
  </si>
  <si>
    <t>Title emoji</t>
  </si>
  <si>
    <t>This story is abt a couple who got married in 2013 in a Hindu arranged marriage &amp; had a son in 2016 but things went against them since in 2019 the wife committed suicide ( she wrote a note as well, not blaming anyone) but on the same day the husband was arrested on allegations that he was the culprit and was later sent to prison where he spent 3 yrs after which was released on bail</t>
  </si>
  <si>
    <t xml:space="preserve">Rahul </t>
  </si>
  <si>
    <t>+917355936984</t>
  </si>
  <si>
    <t>master.rahul070@gmail.com</t>
  </si>
  <si>
    <t>Mishra</t>
  </si>
  <si>
    <t>u5zslol05cr3olqxhcgsflku5zsl2n3n</t>
  </si>
  <si>
    <t>Creepy</t>
  </si>
  <si>
    <t>Loved by the people around me,always smiling and decent bussiness man,who loves  people,simple and straight man with a cute family</t>
  </si>
  <si>
    <t>C SREENIVASULA</t>
  </si>
  <si>
    <t>+919886499919</t>
  </si>
  <si>
    <t>sruwin@gmail.com</t>
  </si>
  <si>
    <t>REDDY</t>
  </si>
  <si>
    <t>yvfvyka9r0zj6whktpyvfvykwt8ni0xm</t>
  </si>
  <si>
    <t>Short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</si>
</sst>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b/>
      <color theme="1"/>
      <name val="Arial"/>
    </font>
    <font>
      <color theme="1"/>
      <name val="Arial"/>
    </font>
  </fonts>
  <fills count="3">
    <fill>
      <patternFill patternType="none"/>
    </fill>
    <fill>
      <patternFill patternType="lightGray"/>
    </fill>
    <fill>
      <patternFill patternType="solid">
        <fgColor rgb="FFD9EAD3"/>
        <bgColor rgb="FFD9EAD3"/>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center" readingOrder="0" shrinkToFit="0" vertical="bottom" wrapText="1"/>
    </xf>
    <xf borderId="0" fillId="0" fontId="1" numFmtId="0" xfId="0" applyAlignment="1" applyFont="1">
      <alignment horizontal="center" shrinkToFit="0" vertical="bottom" wrapText="1"/>
    </xf>
    <xf borderId="0" fillId="0" fontId="2" numFmtId="0" xfId="0" applyAlignment="1" applyFont="1">
      <alignment horizontal="center" readingOrder="0" vertical="bottom"/>
    </xf>
    <xf borderId="0" fillId="0" fontId="2" numFmtId="0" xfId="0" applyAlignment="1" applyFont="1">
      <alignment readingOrder="0" vertical="bottom"/>
    </xf>
    <xf borderId="0" fillId="0" fontId="2" numFmtId="0" xfId="0" applyAlignment="1" applyFont="1">
      <alignment vertical="bottom"/>
    </xf>
    <xf borderId="0" fillId="2" fontId="2" numFmtId="0" xfId="0" applyAlignment="1" applyFill="1" applyFont="1">
      <alignment horizontal="center" shrinkToFit="0" vertical="bottom" wrapText="1"/>
    </xf>
    <xf borderId="0" fillId="0" fontId="2" numFmtId="0" xfId="0" applyAlignment="1" applyFont="1">
      <alignment horizontal="center" shrinkToFit="0" vertical="bottom" wrapText="1"/>
    </xf>
    <xf quotePrefix="1" borderId="0" fillId="0" fontId="2" numFmtId="0" xfId="0" applyAlignment="1" applyFont="1">
      <alignment horizontal="center" shrinkToFit="0" vertical="bottom" wrapText="1"/>
    </xf>
    <xf borderId="0" fillId="0" fontId="2" numFmtId="164" xfId="0" applyAlignment="1" applyFont="1" applyNumberFormat="1">
      <alignment horizontal="center"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13"/>
    <col customWidth="1" min="12" max="12" width="23.13"/>
  </cols>
  <sheetData>
    <row r="1" ht="28.5" customHeight="1">
      <c r="A1" s="1" t="s">
        <v>0</v>
      </c>
      <c r="B1" s="2" t="s">
        <v>1</v>
      </c>
      <c r="C1" s="2" t="s">
        <v>2</v>
      </c>
      <c r="D1" s="2" t="s">
        <v>3</v>
      </c>
      <c r="E1" s="2" t="s">
        <v>4</v>
      </c>
      <c r="F1" s="2" t="s">
        <v>5</v>
      </c>
      <c r="G1" s="2" t="s">
        <v>6</v>
      </c>
      <c r="H1" s="2" t="s">
        <v>7</v>
      </c>
      <c r="I1" s="2" t="s">
        <v>8</v>
      </c>
      <c r="J1" s="3" t="s">
        <v>9</v>
      </c>
      <c r="K1" s="4" t="s">
        <v>10</v>
      </c>
      <c r="L1" s="4" t="s">
        <v>11</v>
      </c>
      <c r="M1" s="4" t="s">
        <v>12</v>
      </c>
      <c r="N1" s="5"/>
      <c r="O1" s="5"/>
      <c r="P1" s="5"/>
      <c r="Q1" s="5"/>
      <c r="R1" s="5"/>
      <c r="S1" s="5"/>
      <c r="T1" s="5"/>
      <c r="U1" s="5"/>
      <c r="V1" s="5"/>
      <c r="W1" s="5"/>
      <c r="X1" s="5"/>
      <c r="Y1" s="5"/>
      <c r="Z1" s="5"/>
      <c r="AA1" s="5"/>
      <c r="AB1" s="5"/>
      <c r="AC1" s="5"/>
      <c r="AD1" s="5"/>
      <c r="AE1" s="5"/>
      <c r="AF1" s="5"/>
      <c r="AG1" s="5"/>
      <c r="AH1" s="5"/>
    </row>
    <row r="2">
      <c r="A2" s="6" t="s">
        <v>13</v>
      </c>
      <c r="B2" s="7" t="s">
        <v>14</v>
      </c>
      <c r="C2" s="8" t="s">
        <v>15</v>
      </c>
      <c r="D2" s="7" t="s">
        <v>16</v>
      </c>
      <c r="E2" s="7" t="s">
        <v>17</v>
      </c>
      <c r="F2" s="7" t="s">
        <v>17</v>
      </c>
      <c r="G2" s="7" t="s">
        <v>18</v>
      </c>
      <c r="H2" s="9">
        <v>46074.72393518518</v>
      </c>
      <c r="I2" s="7" t="s">
        <v>19</v>
      </c>
      <c r="J2" s="3" t="s">
        <v>20</v>
      </c>
      <c r="K2" s="5" t="str">
        <f t="shared" ref="K2:K10" si="1">CONCAT("mini-story-user-real-",I2)</f>
        <v>mini-story-user-real-rww5co378vs8rww5co56x7y6alaaclb0</v>
      </c>
      <c r="L2" s="5" t="str">
        <f>IFERROR(__xludf.DUMMYFUNCTION("AI(""Suggest me a title for this story pitch"",A2)"),"Zero's Judgment")</f>
        <v>Zero's Judgment</v>
      </c>
      <c r="M2" s="5" t="str">
        <f>IFERROR(__xludf.DUMMYFUNCTION("AI(""Take into account the content of this cell and give me a number between 0 and 1 that captures the probability that the content is AI generated !!! with 1 being highly likely to be AI generated, 0 being human generated. Use the vocabulary, the syntax,"&amp;" the em-dashes, the perpexlity."",A2)"),"0.85")</f>
        <v>0.85</v>
      </c>
      <c r="N2" s="5"/>
      <c r="O2" s="5"/>
      <c r="P2" s="5"/>
      <c r="Q2" s="5"/>
      <c r="R2" s="5"/>
      <c r="S2" s="5"/>
      <c r="T2" s="5"/>
      <c r="U2" s="5"/>
      <c r="V2" s="5"/>
      <c r="W2" s="5"/>
      <c r="X2" s="5"/>
      <c r="Y2" s="5"/>
      <c r="Z2" s="5"/>
      <c r="AA2" s="5"/>
      <c r="AB2" s="5"/>
      <c r="AC2" s="5"/>
      <c r="AD2" s="5"/>
      <c r="AE2" s="5"/>
      <c r="AF2" s="5"/>
      <c r="AG2" s="5"/>
      <c r="AH2" s="5"/>
    </row>
    <row r="3">
      <c r="A3" s="6" t="s">
        <v>21</v>
      </c>
      <c r="B3" s="7" t="s">
        <v>22</v>
      </c>
      <c r="C3" s="8" t="s">
        <v>23</v>
      </c>
      <c r="D3" s="7" t="s">
        <v>24</v>
      </c>
      <c r="E3" s="7" t="s">
        <v>17</v>
      </c>
      <c r="F3" s="7" t="s">
        <v>17</v>
      </c>
      <c r="G3" s="7" t="s">
        <v>25</v>
      </c>
      <c r="H3" s="9">
        <v>46074.865428240744</v>
      </c>
      <c r="I3" s="7" t="s">
        <v>26</v>
      </c>
      <c r="J3" s="3" t="s">
        <v>11</v>
      </c>
      <c r="K3" s="5" t="str">
        <f t="shared" si="1"/>
        <v>mini-story-user-real-gft77g6j13j74jbvygft77fwc0og3nwo</v>
      </c>
      <c r="L3" s="5" t="str">
        <f>IFERROR(__xludf.DUMMYFUNCTION("AI(""Suggest me a title for this story pitch"",A3)"),"The Path to 2019")</f>
        <v>The Path to 2019</v>
      </c>
      <c r="M3" s="5" t="str">
        <f>IFERROR(__xludf.DUMMYFUNCTION("AI(""Take into account the content of this cell and give me a number between 0 and 1 that captures the probability that the content is AI generated !!! with 1 being highly likely to be AI generated, 0 being human generated. Use the vocabulary, the syntax,"&amp;" the em-dashes, the perpexlity."",A3)"),"0.15")</f>
        <v>0.15</v>
      </c>
      <c r="N3" s="5"/>
      <c r="O3" s="5"/>
      <c r="P3" s="5"/>
      <c r="Q3" s="5"/>
      <c r="R3" s="5"/>
      <c r="S3" s="5"/>
      <c r="T3" s="5"/>
      <c r="U3" s="5"/>
      <c r="V3" s="5"/>
      <c r="W3" s="5"/>
      <c r="X3" s="5"/>
      <c r="Y3" s="5"/>
      <c r="Z3" s="5"/>
      <c r="AA3" s="5"/>
      <c r="AB3" s="5"/>
      <c r="AC3" s="5"/>
      <c r="AD3" s="5"/>
      <c r="AE3" s="5"/>
      <c r="AF3" s="5"/>
      <c r="AG3" s="5"/>
      <c r="AH3" s="5"/>
    </row>
    <row r="4">
      <c r="A4" s="6" t="s">
        <v>27</v>
      </c>
      <c r="B4" s="7" t="s">
        <v>28</v>
      </c>
      <c r="C4" s="8" t="s">
        <v>29</v>
      </c>
      <c r="D4" s="7" t="s">
        <v>30</v>
      </c>
      <c r="E4" s="7" t="s">
        <v>31</v>
      </c>
      <c r="F4" s="7" t="s">
        <v>17</v>
      </c>
      <c r="G4" s="7" t="s">
        <v>32</v>
      </c>
      <c r="H4" s="9">
        <v>46075.64210648148</v>
      </c>
      <c r="I4" s="7" t="s">
        <v>33</v>
      </c>
      <c r="J4" s="3" t="s">
        <v>34</v>
      </c>
      <c r="K4" s="5" t="str">
        <f t="shared" si="1"/>
        <v>mini-story-user-real-mmk5qhr3kw22wq7gwvmmk5qhe274o0bo</v>
      </c>
      <c r="L4" s="5" t="str">
        <f>IFERROR(__xludf.DUMMYFUNCTION("AI(""Suggest me a title for this story pitch"",A4)"),"Nishchhal Bhakti ka Deep")</f>
        <v>Nishchhal Bhakti ka Deep</v>
      </c>
      <c r="M4" s="5" t="str">
        <f>IFERROR(__xludf.DUMMYFUNCTION("AI(""Take into account the content of this cell and give me a number between 0 and 1 that captures the probability that the content is AI generated !!! with 1 being highly likely to be AI generated, 0 being human generated. Use the vocabulary, the syntax,"&amp;" the em-dashes, the perpexlity."",A4)"),"0.15")</f>
        <v>0.15</v>
      </c>
      <c r="N4" s="5"/>
      <c r="O4" s="5"/>
      <c r="P4" s="5"/>
      <c r="Q4" s="5"/>
      <c r="R4" s="5"/>
      <c r="S4" s="5"/>
      <c r="T4" s="5"/>
      <c r="U4" s="5"/>
      <c r="V4" s="5"/>
      <c r="W4" s="5"/>
      <c r="X4" s="5"/>
      <c r="Y4" s="5"/>
      <c r="Z4" s="5"/>
      <c r="AA4" s="5"/>
      <c r="AB4" s="5"/>
      <c r="AC4" s="5"/>
      <c r="AD4" s="5"/>
      <c r="AE4" s="5"/>
      <c r="AF4" s="5"/>
      <c r="AG4" s="5"/>
      <c r="AH4" s="5"/>
    </row>
    <row r="5">
      <c r="A5" s="6" t="s">
        <v>35</v>
      </c>
      <c r="B5" s="7" t="s">
        <v>36</v>
      </c>
      <c r="C5" s="8" t="s">
        <v>37</v>
      </c>
      <c r="D5" s="7" t="s">
        <v>38</v>
      </c>
      <c r="E5" s="7" t="s">
        <v>17</v>
      </c>
      <c r="F5" s="7" t="s">
        <v>17</v>
      </c>
      <c r="G5" s="7" t="s">
        <v>39</v>
      </c>
      <c r="H5" s="9">
        <v>46076.58430555555</v>
      </c>
      <c r="I5" s="7" t="s">
        <v>40</v>
      </c>
      <c r="J5" s="3" t="s">
        <v>41</v>
      </c>
      <c r="K5" s="5" t="str">
        <f t="shared" si="1"/>
        <v>mini-story-user-real-h4aqia6lb88x4tg9jjh4aqia6l6a4xje</v>
      </c>
      <c r="L5" s="5" t="str">
        <f>IFERROR(__xludf.DUMMYFUNCTION("AI(""Suggest me a title for this story pitch"",A5)"),"The Clockmaker’s Debt")</f>
        <v>The Clockmaker’s Debt</v>
      </c>
      <c r="M5" s="5" t="str">
        <f>IFERROR(__xludf.DUMMYFUNCTION("AI(""Take into account the content of this cell and give me a number between 0 and 1 that captures the probability that the content is AI generated !!! with 1 being highly likely to be AI generated, 0 being human generated. Use the vocabulary, the syntax,"&amp;" the em-dashes, the perpexlity."",A5)"),"0.85")</f>
        <v>0.85</v>
      </c>
      <c r="N5" s="5"/>
      <c r="O5" s="5"/>
      <c r="P5" s="5"/>
      <c r="Q5" s="5"/>
      <c r="R5" s="5"/>
      <c r="S5" s="5"/>
      <c r="T5" s="5"/>
      <c r="U5" s="5"/>
      <c r="V5" s="5"/>
      <c r="W5" s="5"/>
      <c r="X5" s="5"/>
      <c r="Y5" s="5"/>
      <c r="Z5" s="5"/>
      <c r="AA5" s="5"/>
      <c r="AB5" s="5"/>
      <c r="AC5" s="5"/>
      <c r="AD5" s="5"/>
      <c r="AE5" s="5"/>
      <c r="AF5" s="5"/>
      <c r="AG5" s="5"/>
      <c r="AH5" s="5"/>
    </row>
    <row r="6">
      <c r="A6" s="6" t="s">
        <v>42</v>
      </c>
      <c r="B6" s="7" t="s">
        <v>43</v>
      </c>
      <c r="C6" s="8" t="s">
        <v>44</v>
      </c>
      <c r="D6" s="7" t="s">
        <v>45</v>
      </c>
      <c r="E6" s="7" t="s">
        <v>31</v>
      </c>
      <c r="F6" s="7" t="s">
        <v>17</v>
      </c>
      <c r="G6" s="7" t="s">
        <v>46</v>
      </c>
      <c r="H6" s="9">
        <v>46078.72881944444</v>
      </c>
      <c r="I6" s="7" t="s">
        <v>47</v>
      </c>
      <c r="J6" s="3" t="s">
        <v>48</v>
      </c>
      <c r="K6" s="5" t="str">
        <f t="shared" si="1"/>
        <v>mini-story-user-real-2hxa6zaxhxlm1zlal9j5l2hxaew6fqwc</v>
      </c>
      <c r="L6" s="5" t="str">
        <f>IFERROR(__xludf.DUMMYFUNCTION("AI(""Suggest me a title for this story pitch"",A6)"),"The Final Glow")</f>
        <v>The Final Glow</v>
      </c>
      <c r="M6" s="5" t="str">
        <f>IFERROR(__xludf.DUMMYFUNCTION("AI(""Take into account the content of this cell and give me a number between 0 and 1 that captures the probability that the content is AI generated !!! with 1 being highly likely to be AI generated, 0 being human generated. Use the vocabulary, the syntax,"&amp;" the em-dashes, the perpexlity."",A6)"),"0.10")</f>
        <v>0.10</v>
      </c>
      <c r="N6" s="5"/>
      <c r="O6" s="5"/>
      <c r="P6" s="5"/>
      <c r="Q6" s="5"/>
      <c r="R6" s="5"/>
      <c r="S6" s="5"/>
      <c r="T6" s="5"/>
      <c r="U6" s="5"/>
      <c r="V6" s="5"/>
      <c r="W6" s="5"/>
      <c r="X6" s="5"/>
      <c r="Y6" s="5"/>
      <c r="Z6" s="5"/>
      <c r="AA6" s="5"/>
      <c r="AB6" s="5"/>
      <c r="AC6" s="5"/>
      <c r="AD6" s="5"/>
      <c r="AE6" s="5"/>
      <c r="AF6" s="5"/>
      <c r="AG6" s="5"/>
      <c r="AH6" s="5"/>
    </row>
    <row r="7">
      <c r="A7" s="6" t="s">
        <v>49</v>
      </c>
      <c r="B7" s="7" t="s">
        <v>50</v>
      </c>
      <c r="C7" s="8" t="s">
        <v>51</v>
      </c>
      <c r="D7" s="7" t="s">
        <v>52</v>
      </c>
      <c r="E7" s="7" t="s">
        <v>17</v>
      </c>
      <c r="F7" s="7" t="s">
        <v>17</v>
      </c>
      <c r="G7" s="7" t="s">
        <v>53</v>
      </c>
      <c r="H7" s="9">
        <v>46080.61431712963</v>
      </c>
      <c r="I7" s="7" t="s">
        <v>54</v>
      </c>
      <c r="J7" s="3" t="s">
        <v>0</v>
      </c>
      <c r="K7" s="5" t="str">
        <f t="shared" si="1"/>
        <v>mini-story-user-real-8y79qn8pw2dd526jb3l8y79qljsm9ord</v>
      </c>
      <c r="L7" s="5" t="str">
        <f>IFERROR(__xludf.DUMMYFUNCTION("AI(""Suggest me a title for this story pitch"",A7)"),"The Star of Chotu's Dream")</f>
        <v>The Star of Chotu's Dream</v>
      </c>
      <c r="M7" s="5" t="str">
        <f>IFERROR(__xludf.DUMMYFUNCTION("AI(""Take into account the content of this cell and give me a number between 0 and 1 that captures the probability that the content is AI generated !!! with 1 being highly likely to be AI generated, 0 being human generated. Use the vocabulary, the syntax,"&amp;" the em-dashes, the perpexlity."",A7)"),"0.05")</f>
        <v>0.05</v>
      </c>
      <c r="N7" s="5"/>
      <c r="O7" s="5"/>
      <c r="P7" s="5"/>
      <c r="Q7" s="5"/>
      <c r="R7" s="5"/>
      <c r="S7" s="5"/>
      <c r="T7" s="5"/>
      <c r="U7" s="5"/>
      <c r="V7" s="5"/>
      <c r="W7" s="5"/>
      <c r="X7" s="5"/>
      <c r="Y7" s="5"/>
      <c r="Z7" s="5"/>
      <c r="AA7" s="5"/>
      <c r="AB7" s="5"/>
      <c r="AC7" s="5"/>
      <c r="AD7" s="5"/>
      <c r="AE7" s="5"/>
      <c r="AF7" s="5"/>
      <c r="AG7" s="5"/>
      <c r="AH7" s="5"/>
    </row>
    <row r="8">
      <c r="A8" s="6" t="s">
        <v>55</v>
      </c>
      <c r="B8" s="7" t="s">
        <v>56</v>
      </c>
      <c r="C8" s="8" t="s">
        <v>57</v>
      </c>
      <c r="D8" s="7" t="s">
        <v>58</v>
      </c>
      <c r="E8" s="7" t="s">
        <v>17</v>
      </c>
      <c r="F8" s="7" t="s">
        <v>17</v>
      </c>
      <c r="G8" s="7" t="s">
        <v>59</v>
      </c>
      <c r="H8" s="9">
        <v>46081.81384259259</v>
      </c>
      <c r="I8" s="7" t="s">
        <v>60</v>
      </c>
      <c r="J8" s="3" t="s">
        <v>61</v>
      </c>
      <c r="K8" s="5" t="str">
        <f t="shared" si="1"/>
        <v>mini-story-user-real-hmdqrllh25z18ndhmdqrlniqf0yj7owp</v>
      </c>
      <c r="L8" s="5" t="str">
        <f>IFERROR(__xludf.DUMMYFUNCTION("AI(""Suggest me a title for this story pitch"",A8)"),"Fragments of Permission")</f>
        <v>Fragments of Permission</v>
      </c>
      <c r="M8" s="5" t="str">
        <f>IFERROR(__xludf.DUMMYFUNCTION("AI(""Take into account the content of this cell and give me a number between 0 and 1 that captures the probability that the content is AI generated !!! with 1 being highly likely to be AI generated, 0 being human generated. Use the vocabulary, the syntax,"&amp;" the em-dashes, the perpexlity."",A8)"),"0.25")</f>
        <v>0.25</v>
      </c>
      <c r="N8" s="5"/>
      <c r="O8" s="5"/>
      <c r="P8" s="5"/>
      <c r="Q8" s="5"/>
      <c r="R8" s="5"/>
      <c r="S8" s="5"/>
      <c r="T8" s="5"/>
      <c r="U8" s="5"/>
      <c r="V8" s="5"/>
      <c r="W8" s="5"/>
      <c r="X8" s="5"/>
      <c r="Y8" s="5"/>
      <c r="Z8" s="5"/>
      <c r="AA8" s="5"/>
      <c r="AB8" s="5"/>
      <c r="AC8" s="5"/>
      <c r="AD8" s="5"/>
      <c r="AE8" s="5"/>
      <c r="AF8" s="5"/>
      <c r="AG8" s="5"/>
      <c r="AH8" s="5"/>
    </row>
    <row r="9">
      <c r="A9" s="6" t="s">
        <v>62</v>
      </c>
      <c r="B9" s="7" t="s">
        <v>63</v>
      </c>
      <c r="C9" s="8" t="s">
        <v>64</v>
      </c>
      <c r="D9" s="7" t="s">
        <v>65</v>
      </c>
      <c r="E9" s="7" t="s">
        <v>17</v>
      </c>
      <c r="F9" s="7" t="s">
        <v>17</v>
      </c>
      <c r="G9" s="7" t="s">
        <v>66</v>
      </c>
      <c r="H9" s="9">
        <v>46082.55333333334</v>
      </c>
      <c r="I9" s="7" t="s">
        <v>67</v>
      </c>
      <c r="J9" s="3" t="s">
        <v>68</v>
      </c>
      <c r="K9" s="5" t="str">
        <f t="shared" si="1"/>
        <v>mini-story-user-real-u5zslol05cr3olqxhcgsflku5zsl2n3n</v>
      </c>
      <c r="L9" s="5" t="str">
        <f>IFERROR(__xludf.DUMMYFUNCTION("AI(""Suggest me a title for this story pitch"",A9)"),"Shadow of a Vow")</f>
        <v>Shadow of a Vow</v>
      </c>
      <c r="M9" s="5" t="str">
        <f>IFERROR(__xludf.DUMMYFUNCTION("AI(""Take into account the content of this cell and give me a number between 0 and 1 that captures the probability that the content is AI generated !!! with 1 being highly likely to be AI generated, 0 being human generated. Use the vocabulary, the syntax,"&amp;" the em-dashes, the perpexlity."",A9)"),"0.05")</f>
        <v>0.05</v>
      </c>
      <c r="N9" s="5"/>
      <c r="O9" s="5"/>
      <c r="P9" s="5"/>
      <c r="Q9" s="5"/>
      <c r="R9" s="5"/>
      <c r="S9" s="5"/>
      <c r="T9" s="5"/>
      <c r="U9" s="5"/>
      <c r="V9" s="5"/>
      <c r="W9" s="5"/>
      <c r="X9" s="5"/>
      <c r="Y9" s="5"/>
      <c r="Z9" s="5"/>
      <c r="AA9" s="5"/>
      <c r="AB9" s="5"/>
      <c r="AC9" s="5"/>
      <c r="AD9" s="5"/>
      <c r="AE9" s="5"/>
      <c r="AF9" s="5"/>
      <c r="AG9" s="5"/>
      <c r="AH9" s="5"/>
    </row>
    <row r="10">
      <c r="A10" s="6" t="s">
        <v>69</v>
      </c>
      <c r="B10" s="7" t="s">
        <v>70</v>
      </c>
      <c r="C10" s="8" t="s">
        <v>71</v>
      </c>
      <c r="D10" s="7" t="s">
        <v>72</v>
      </c>
      <c r="E10" s="7" t="s">
        <v>17</v>
      </c>
      <c r="F10" s="7" t="s">
        <v>17</v>
      </c>
      <c r="G10" s="7" t="s">
        <v>73</v>
      </c>
      <c r="H10" s="9">
        <v>46082.809328703705</v>
      </c>
      <c r="I10" s="7" t="s">
        <v>74</v>
      </c>
      <c r="J10" s="3" t="s">
        <v>75</v>
      </c>
      <c r="K10" s="5" t="str">
        <f t="shared" si="1"/>
        <v>mini-story-user-real-yvfvyka9r0zj6whktpyvfvykwt8ni0xm</v>
      </c>
      <c r="L10" s="5" t="str">
        <f>IFERROR(__xludf.DUMMYFUNCTION("AI(""Suggest me a title for this story pitch"",A10)"),"The Simple Man's Smile")</f>
        <v>The Simple Man's Smile</v>
      </c>
      <c r="M10" s="5" t="str">
        <f>IFERROR(__xludf.DUMMYFUNCTION("AI(""Take into account the content of this cell and give me a number between 0 and 1 that captures the probability that the content is AI generated !!! with 1 being highly likely to be AI generated, 0 being human generated. Use the vocabulary, the syntax,"&amp;" the em-dashes, the perpexlity."",A10)"),"0.05")</f>
        <v>0.05</v>
      </c>
      <c r="N10" s="5"/>
      <c r="O10" s="5"/>
      <c r="P10" s="5"/>
      <c r="Q10" s="5"/>
      <c r="R10" s="5"/>
      <c r="S10" s="5"/>
      <c r="T10" s="5"/>
      <c r="U10" s="5"/>
      <c r="V10" s="5"/>
      <c r="W10" s="5"/>
      <c r="X10" s="5"/>
      <c r="Y10" s="5"/>
      <c r="Z10" s="5"/>
      <c r="AA10" s="5"/>
      <c r="AB10" s="5"/>
      <c r="AC10" s="5"/>
      <c r="AD10" s="5"/>
      <c r="AE10" s="5"/>
      <c r="AF10" s="5"/>
      <c r="AG10" s="5"/>
      <c r="AH10" s="5"/>
    </row>
    <row r="11">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row>
    <row r="12">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row>
    <row r="13">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row>
    <row r="14">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row>
    <row r="15">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row>
    <row r="16">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row>
    <row r="17">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row>
    <row r="18">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row>
    <row r="19">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row>
    <row r="20">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row>
    <row r="21">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row>
    <row r="22">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row>
    <row r="23">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row>
    <row r="24">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row>
    <row r="2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row>
    <row r="26">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row>
    <row r="27">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row>
    <row r="28">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row>
    <row r="29">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row>
    <row r="30">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row>
    <row r="31">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row>
    <row r="32">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row>
    <row r="33">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row>
    <row r="34">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row>
    <row r="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row>
    <row r="36">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row>
    <row r="37">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row>
    <row r="38">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row>
    <row r="39">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row>
    <row r="40">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row>
    <row r="41">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row>
    <row r="42">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row>
    <row r="43">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row>
    <row r="44">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row>
    <row r="4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row>
    <row r="46">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row>
    <row r="47">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row>
    <row r="48">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row>
    <row r="49">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row>
    <row r="50">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row>
    <row r="51">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row>
    <row r="52">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row>
    <row r="53">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row>
    <row r="54">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row>
    <row r="57">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row>
    <row r="58">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row>
    <row r="59">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row>
    <row r="60">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row>
    <row r="61">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row>
    <row r="62">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row>
    <row r="63">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row>
    <row r="64">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row>
    <row r="6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c r="AH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c r="AH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c r="AH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c r="AH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c r="AH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c r="AH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c r="AH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c r="AH559" s="5"/>
    </row>
  </sheetData>
  <drawing r:id="rId1"/>
</worksheet>
</file>